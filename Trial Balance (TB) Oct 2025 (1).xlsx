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Zorojuro\Downloads\"/>
    </mc:Choice>
  </mc:AlternateContent>
  <xr:revisionPtr revIDLastSave="0" documentId="13_ncr:1_{A40F895A-3157-44C3-95DB-74C78BCB25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al Balance 2021" sheetId="2" r:id="rId1"/>
  </sheets>
  <definedNames>
    <definedName name="_xlnm._FilterDatabase" localSheetId="0" hidden="1">'Trial Balance 2021'!$B$2:$E$116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6" i="2" l="1"/>
</calcChain>
</file>

<file path=xl/sharedStrings.xml><?xml version="1.0" encoding="utf-8"?>
<sst xmlns="http://schemas.openxmlformats.org/spreadsheetml/2006/main" count="233" uniqueCount="136">
  <si>
    <t>Subject</t>
  </si>
  <si>
    <t>Trial balance</t>
  </si>
  <si>
    <t>Account</t>
  </si>
  <si>
    <t>Description</t>
  </si>
  <si>
    <t>Closing Balance</t>
  </si>
  <si>
    <t>Manufactured sales - home</t>
  </si>
  <si>
    <t>Revenue - Rest of the world</t>
  </si>
  <si>
    <t>Cost of sales</t>
  </si>
  <si>
    <t>Expenses - Cost of sales</t>
  </si>
  <si>
    <t>Factored purchases</t>
  </si>
  <si>
    <t>Holiday pay provision</t>
  </si>
  <si>
    <t>Employee Remuneration - Wages and salaries</t>
  </si>
  <si>
    <t>Payroll wages</t>
  </si>
  <si>
    <t>Pension</t>
  </si>
  <si>
    <t>Employee Remuneration - Other pension costs</t>
  </si>
  <si>
    <t>Ni</t>
  </si>
  <si>
    <t>Employee Remuneration - Social security</t>
  </si>
  <si>
    <t>Overtime</t>
  </si>
  <si>
    <t>New tools</t>
  </si>
  <si>
    <t>Indirect holiday provision</t>
  </si>
  <si>
    <t>Indirect payroll</t>
  </si>
  <si>
    <t>Indirect pensions</t>
  </si>
  <si>
    <t>Indirect ni</t>
  </si>
  <si>
    <t>Food / drink</t>
  </si>
  <si>
    <t>Expenses - Admin Expenses</t>
  </si>
  <si>
    <t>Repairs</t>
  </si>
  <si>
    <t>Travel</t>
  </si>
  <si>
    <t>Other income</t>
  </si>
  <si>
    <t>Depreciation - plant &amp; m/c</t>
  </si>
  <si>
    <t>Revenue - UK</t>
  </si>
  <si>
    <t>Manufactured sales - europe export</t>
  </si>
  <si>
    <t>Revenue - Rest of europe</t>
  </si>
  <si>
    <t>Manufactured sales - row export</t>
  </si>
  <si>
    <t>Price adjustment</t>
  </si>
  <si>
    <t>Carriage</t>
  </si>
  <si>
    <t>Commission</t>
  </si>
  <si>
    <t>Steel issues</t>
  </si>
  <si>
    <t>Steel receipts</t>
  </si>
  <si>
    <t>Standard hirework</t>
  </si>
  <si>
    <t>Off standard hirework</t>
  </si>
  <si>
    <t>Gas</t>
  </si>
  <si>
    <t>Electric</t>
  </si>
  <si>
    <t>Grind wheels</t>
  </si>
  <si>
    <t>Packing</t>
  </si>
  <si>
    <t>Oil / greases</t>
  </si>
  <si>
    <t>Spares purchase</t>
  </si>
  <si>
    <t>Misc operating supplies</t>
  </si>
  <si>
    <t>Safety equipment</t>
  </si>
  <si>
    <t>Safety wear</t>
  </si>
  <si>
    <t>Indirect holiday pay provision</t>
  </si>
  <si>
    <t>Hire fork lift trucks</t>
  </si>
  <si>
    <t>Environment</t>
  </si>
  <si>
    <t>Hire plant &amp; equip</t>
  </si>
  <si>
    <t>Bad debt</t>
  </si>
  <si>
    <t>Training</t>
  </si>
  <si>
    <t>Industry advertising</t>
  </si>
  <si>
    <t>Medical / security</t>
  </si>
  <si>
    <t>Computer cons &amp; it</t>
  </si>
  <si>
    <t>Grant and other income</t>
  </si>
  <si>
    <t>Other income - Grant and other income</t>
  </si>
  <si>
    <t>Bank interest</t>
  </si>
  <si>
    <t>Interest payable and similar charges - Bank Interest</t>
  </si>
  <si>
    <t>Hp interest</t>
  </si>
  <si>
    <t>Interest payable and similar charges - HP Interest</t>
  </si>
  <si>
    <t>Bank charges</t>
  </si>
  <si>
    <t>Sl write off</t>
  </si>
  <si>
    <t>Pl write off</t>
  </si>
  <si>
    <t>Redundancy</t>
  </si>
  <si>
    <t>Mgt charges</t>
  </si>
  <si>
    <t>Sales discount</t>
  </si>
  <si>
    <t>Direct bonus</t>
  </si>
  <si>
    <t>Indirect bonus</t>
  </si>
  <si>
    <t>Grinding discs</t>
  </si>
  <si>
    <t>Segments</t>
  </si>
  <si>
    <t xml:space="preserve">Assessment costs </t>
  </si>
  <si>
    <t>Rent</t>
  </si>
  <si>
    <t>Forex contracts</t>
  </si>
  <si>
    <t>Interest payable and similar charges - Forex contracts</t>
  </si>
  <si>
    <t>Cost b/f</t>
  </si>
  <si>
    <t>Fixed assets</t>
  </si>
  <si>
    <t>Cost year - additions</t>
  </si>
  <si>
    <t>Dep b/f</t>
  </si>
  <si>
    <t>Dep year</t>
  </si>
  <si>
    <t>Raw mats</t>
  </si>
  <si>
    <t>Inventory - Raw materials and consumables</t>
  </si>
  <si>
    <t>Wip</t>
  </si>
  <si>
    <t>Inventory - Work in progress</t>
  </si>
  <si>
    <t>Finished goods</t>
  </si>
  <si>
    <t>Inventory - Finished goods and goods for resale</t>
  </si>
  <si>
    <t>Sales ledger control</t>
  </si>
  <si>
    <t>Debtors - Trade debtors</t>
  </si>
  <si>
    <t>S/l suspense</t>
  </si>
  <si>
    <t>Bad debt provision</t>
  </si>
  <si>
    <t>Staff loans</t>
  </si>
  <si>
    <t>Debtors - Other debtors</t>
  </si>
  <si>
    <t>Consignment stock</t>
  </si>
  <si>
    <t>Prepayments</t>
  </si>
  <si>
    <t>Debtors - Prepayments</t>
  </si>
  <si>
    <t>Taxation debtor</t>
  </si>
  <si>
    <t>Debtors - Deferred tax</t>
  </si>
  <si>
    <t>Purchase ledger control</t>
  </si>
  <si>
    <t>Creditors - Trade creditors</t>
  </si>
  <si>
    <t>P/l suspense</t>
  </si>
  <si>
    <t>Fg stock provision</t>
  </si>
  <si>
    <t>Commissions payable</t>
  </si>
  <si>
    <t>Creditors - Accruals and deferred income</t>
  </si>
  <si>
    <t>Purchase accruals</t>
  </si>
  <si>
    <t>Rm stock provision</t>
  </si>
  <si>
    <t>Forex &lt;1yr</t>
  </si>
  <si>
    <t>Inv disc gbp</t>
  </si>
  <si>
    <t>Cash</t>
  </si>
  <si>
    <t>Inv disc eur</t>
  </si>
  <si>
    <t>Inv disc usd</t>
  </si>
  <si>
    <t>Current gbp</t>
  </si>
  <si>
    <t>Current eur</t>
  </si>
  <si>
    <t>Current usd</t>
  </si>
  <si>
    <t>Leases &lt;1yr</t>
  </si>
  <si>
    <t>Creditors - Obligations under finance leases and hire purchase contracts less than 1 year</t>
  </si>
  <si>
    <t>Inv disc eur gain/loss</t>
  </si>
  <si>
    <t>Inv disc usd gain/loss</t>
  </si>
  <si>
    <t>Leases &gt;1yr</t>
  </si>
  <si>
    <t>Creditors - Obligations under finance leases and hire purchase contracts more than 1 year</t>
  </si>
  <si>
    <t>Current eur gain/loss</t>
  </si>
  <si>
    <t>Current usd gain/loss</t>
  </si>
  <si>
    <t>Tbl current interco</t>
  </si>
  <si>
    <t>Creditors - Amounts owed to group undertakings</t>
  </si>
  <si>
    <t>Tbs current interco</t>
  </si>
  <si>
    <t>Debtors - Amounts owed by group undertakings</t>
  </si>
  <si>
    <t>Tbh current interco</t>
  </si>
  <si>
    <t>Share capital</t>
  </si>
  <si>
    <t>Equity - share capital</t>
  </si>
  <si>
    <t>P&amp;l b/f</t>
  </si>
  <si>
    <t>Equity - profit and loss account</t>
  </si>
  <si>
    <t>Total</t>
  </si>
  <si>
    <t xml:space="preserve">Manufactured sales </t>
  </si>
  <si>
    <t>Bank charge/refund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</si>
</sst>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.00_ ;[Red]\-#,##0.00\ "/>
    <numFmt numFmtId="166" formatCode="#,##0\ ;\(#,##0\);\-\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19" fillId="0" borderId="0" xfId="0" applyFont="1" applyAlignment="1">
      <alignment vertical="top"/>
    </xf>
    <xf numFmtId="0" fontId="18" fillId="33" borderId="10" xfId="0" applyFont="1" applyFill="1" applyBorder="1" applyAlignment="1">
      <alignment horizontal="left"/>
    </xf>
    <xf numFmtId="0" fontId="18" fillId="33" borderId="10" xfId="0" applyFont="1" applyFill="1" applyBorder="1"/>
    <xf numFmtId="0" fontId="19" fillId="0" borderId="10" xfId="0" applyFont="1" applyBorder="1" applyAlignment="1">
      <alignment horizontal="left"/>
    </xf>
    <xf numFmtId="0" fontId="19" fillId="0" borderId="10" xfId="0" applyFont="1" applyBorder="1"/>
    <xf numFmtId="164" fontId="19" fillId="0" borderId="0" xfId="42" applyFont="1" applyAlignment="1">
      <alignment vertical="top"/>
    </xf>
    <xf numFmtId="164" fontId="18" fillId="33" borderId="10" xfId="42" applyFont="1" applyFill="1" applyBorder="1" applyAlignment="1">
      <alignment horizontal="right" wrapText="1"/>
    </xf>
    <xf numFmtId="164" fontId="0" fillId="0" borderId="0" xfId="42" applyFont="1"/>
    <xf numFmtId="0" fontId="20" fillId="0" borderId="10" xfId="0" applyFont="1" applyBorder="1" applyAlignment="1">
      <alignment vertical="top"/>
    </xf>
    <xf numFmtId="0" fontId="20" fillId="33" borderId="10" xfId="0" applyFont="1" applyFill="1" applyBorder="1" applyAlignment="1">
      <alignment vertical="top"/>
    </xf>
    <xf numFmtId="0" fontId="19" fillId="0" borderId="0" xfId="0" applyFont="1"/>
    <xf numFmtId="0" fontId="18" fillId="0" borderId="0" xfId="0" applyFont="1"/>
    <xf numFmtId="165" fontId="19" fillId="0" borderId="10" xfId="0" applyNumberFormat="1" applyFont="1" applyBorder="1"/>
    <xf numFmtId="0" fontId="19" fillId="0" borderId="11" xfId="0" applyFont="1" applyBorder="1"/>
    <xf numFmtId="166" fontId="19" fillId="0" borderId="10" xfId="0" applyNumberFormat="1" applyFont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4" borderId="11" xfId="0" applyFont="1" applyFill="1" applyBorder="1"/>
    <xf numFmtId="166" fontId="19" fillId="34" borderId="10" xfId="0" applyNumberFormat="1" applyFont="1" applyFill="1" applyBorder="1" applyAlignment="1">
      <alignment horizontal="right"/>
    </xf>
    <xf numFmtId="0" fontId="19" fillId="34" borderId="10" xfId="0" applyFont="1" applyFill="1" applyBorder="1"/>
    <xf numFmtId="0" fontId="19" fillId="34" borderId="0" xfId="0" applyFont="1" applyFill="1" applyAlignment="1">
      <alignment horizontal="left"/>
    </xf>
    <xf numFmtId="165" fontId="18" fillId="35" borderId="10" xfId="0" applyNumberFormat="1" applyFont="1" applyFill="1" applyBorder="1" applyAlignment="1">
      <alignment horizontal="left" wrapText="1"/>
    </xf>
    <xf numFmtId="0" fontId="18" fillId="33" borderId="10" xfId="0" applyFont="1" applyFill="1" applyBorder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66"/>
      <color rgb="FF9999FF"/>
      <color rgb="FFFF66CC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0333-DE79-4AC4-836B-2BFD9C140BB4}">
  <sheetPr filterMode="1">
    <tabColor rgb="FF92D050"/>
  </sheetPr>
  <dimension ref="A1:I116"/>
  <sheetViews>
    <sheetView showGridLines="0" tabSelected="1" zoomScale="85" zoomScaleNormal="85" workbookViewId="0">
      <selection activeCell="B2" sqref="B2:E115"/>
    </sheetView>
  </sheetViews>
  <sheetFormatPr defaultRowHeight="14.4" x14ac:dyDescent="0.3"/>
  <cols>
    <col min="2" max="2" width="21.33203125" customWidth="1"/>
    <col min="3" max="3" width="29.88671875" customWidth="1"/>
    <col min="4" max="4" width="13.109375" style="8" bestFit="1" customWidth="1"/>
    <col min="5" max="5" width="70.88671875" customWidth="1"/>
    <col min="9" max="9" width="12.88671875" customWidth="1"/>
  </cols>
  <sheetData>
    <row r="1" spans="1:9" s="1" customFormat="1" ht="18" x14ac:dyDescent="0.3">
      <c r="A1" s="10" t="s">
        <v>0</v>
      </c>
      <c r="B1" s="9" t="s">
        <v>1</v>
      </c>
      <c r="D1" s="6"/>
      <c r="H1"/>
      <c r="I1"/>
    </row>
    <row r="2" spans="1:9" ht="27.6" x14ac:dyDescent="0.3">
      <c r="B2" s="2" t="s">
        <v>2</v>
      </c>
      <c r="C2" s="3" t="s">
        <v>3</v>
      </c>
      <c r="D2" s="7" t="s">
        <v>4</v>
      </c>
      <c r="E2" s="21" t="s">
        <v>3</v>
      </c>
    </row>
    <row r="3" spans="1:9" hidden="1" x14ac:dyDescent="0.3">
      <c r="B3" s="16">
        <v>450900110</v>
      </c>
      <c r="C3" s="17" t="s">
        <v>134</v>
      </c>
      <c r="D3" s="18">
        <v>-612119.43999999994</v>
      </c>
      <c r="E3" s="19" t="s">
        <v>6</v>
      </c>
      <c r="F3" s="11"/>
    </row>
    <row r="4" spans="1:9" hidden="1" x14ac:dyDescent="0.3">
      <c r="B4" s="16">
        <v>450901400</v>
      </c>
      <c r="C4" s="17" t="s">
        <v>7</v>
      </c>
      <c r="D4" s="18">
        <v>4208</v>
      </c>
      <c r="E4" s="19" t="s">
        <v>8</v>
      </c>
      <c r="F4" s="11"/>
    </row>
    <row r="5" spans="1:9" hidden="1" x14ac:dyDescent="0.3">
      <c r="B5" s="16">
        <v>450901900</v>
      </c>
      <c r="C5" s="17" t="s">
        <v>9</v>
      </c>
      <c r="D5" s="18">
        <v>15103</v>
      </c>
      <c r="E5" s="19" t="s">
        <v>8</v>
      </c>
      <c r="F5" s="11"/>
    </row>
    <row r="6" spans="1:9" hidden="1" x14ac:dyDescent="0.3">
      <c r="B6" s="16">
        <v>450902060</v>
      </c>
      <c r="C6" s="17" t="s">
        <v>10</v>
      </c>
      <c r="D6" s="18">
        <v>5717.72</v>
      </c>
      <c r="E6" s="19" t="s">
        <v>11</v>
      </c>
      <c r="F6" s="11"/>
    </row>
    <row r="7" spans="1:9" hidden="1" x14ac:dyDescent="0.3">
      <c r="B7" s="16">
        <v>450902080</v>
      </c>
      <c r="C7" s="17" t="s">
        <v>12</v>
      </c>
      <c r="D7" s="18">
        <v>272669.21999999997</v>
      </c>
      <c r="E7" s="19" t="s">
        <v>11</v>
      </c>
      <c r="F7" s="11"/>
    </row>
    <row r="8" spans="1:9" hidden="1" x14ac:dyDescent="0.3">
      <c r="B8" s="16">
        <v>450902100</v>
      </c>
      <c r="C8" s="17" t="s">
        <v>13</v>
      </c>
      <c r="D8" s="18">
        <v>15212.56</v>
      </c>
      <c r="E8" s="19" t="s">
        <v>14</v>
      </c>
      <c r="F8" s="11"/>
    </row>
    <row r="9" spans="1:9" hidden="1" x14ac:dyDescent="0.3">
      <c r="B9" s="16">
        <v>450902120</v>
      </c>
      <c r="C9" s="17" t="s">
        <v>15</v>
      </c>
      <c r="D9" s="18">
        <v>31955.360000000001</v>
      </c>
      <c r="E9" s="19" t="s">
        <v>16</v>
      </c>
      <c r="F9" s="11"/>
    </row>
    <row r="10" spans="1:9" hidden="1" x14ac:dyDescent="0.3">
      <c r="B10" s="16">
        <v>450902200</v>
      </c>
      <c r="C10" s="17" t="s">
        <v>17</v>
      </c>
      <c r="D10" s="18">
        <v>39393.760000000002</v>
      </c>
      <c r="E10" s="19" t="s">
        <v>11</v>
      </c>
      <c r="F10" s="11"/>
    </row>
    <row r="11" spans="1:9" hidden="1" x14ac:dyDescent="0.3">
      <c r="B11" s="16">
        <v>450902410</v>
      </c>
      <c r="C11" s="17" t="s">
        <v>18</v>
      </c>
      <c r="D11" s="18">
        <v>1582.6</v>
      </c>
      <c r="E11" s="19" t="s">
        <v>8</v>
      </c>
      <c r="F11" s="11"/>
    </row>
    <row r="12" spans="1:9" hidden="1" x14ac:dyDescent="0.3">
      <c r="B12" s="16">
        <v>450903030</v>
      </c>
      <c r="C12" s="17" t="s">
        <v>19</v>
      </c>
      <c r="D12" s="18">
        <v>992.32</v>
      </c>
      <c r="E12" s="19" t="s">
        <v>11</v>
      </c>
      <c r="F12" s="11"/>
    </row>
    <row r="13" spans="1:9" hidden="1" x14ac:dyDescent="0.3">
      <c r="B13" s="16">
        <v>450903040</v>
      </c>
      <c r="C13" s="17" t="s">
        <v>20</v>
      </c>
      <c r="D13" s="18">
        <v>75621.52</v>
      </c>
      <c r="E13" s="19" t="s">
        <v>11</v>
      </c>
      <c r="F13" s="11"/>
    </row>
    <row r="14" spans="1:9" hidden="1" x14ac:dyDescent="0.3">
      <c r="B14" s="16">
        <v>450903050</v>
      </c>
      <c r="C14" s="17" t="s">
        <v>21</v>
      </c>
      <c r="D14" s="18">
        <v>7179.04</v>
      </c>
      <c r="E14" s="19" t="s">
        <v>14</v>
      </c>
      <c r="F14" s="11"/>
    </row>
    <row r="15" spans="1:9" hidden="1" x14ac:dyDescent="0.3">
      <c r="B15" s="16">
        <v>450903060</v>
      </c>
      <c r="C15" s="17" t="s">
        <v>22</v>
      </c>
      <c r="D15" s="18">
        <v>8169.84</v>
      </c>
      <c r="E15" s="19" t="s">
        <v>16</v>
      </c>
      <c r="F15" s="11"/>
    </row>
    <row r="16" spans="1:9" hidden="1" x14ac:dyDescent="0.3">
      <c r="B16" s="16">
        <v>450904610</v>
      </c>
      <c r="C16" s="17" t="s">
        <v>23</v>
      </c>
      <c r="D16" s="18">
        <v>29.94</v>
      </c>
      <c r="E16" s="19" t="s">
        <v>24</v>
      </c>
      <c r="F16" s="11"/>
    </row>
    <row r="17" spans="2:6" hidden="1" x14ac:dyDescent="0.3">
      <c r="B17" s="16">
        <v>450904870</v>
      </c>
      <c r="C17" s="17" t="s">
        <v>25</v>
      </c>
      <c r="D17" s="18">
        <v>11355</v>
      </c>
      <c r="E17" s="19" t="s">
        <v>24</v>
      </c>
      <c r="F17" s="11"/>
    </row>
    <row r="18" spans="2:6" hidden="1" x14ac:dyDescent="0.3">
      <c r="B18" s="16">
        <v>450905010</v>
      </c>
      <c r="C18" s="17" t="s">
        <v>26</v>
      </c>
      <c r="D18" s="18">
        <v>197.84</v>
      </c>
      <c r="E18" s="19" t="s">
        <v>24</v>
      </c>
      <c r="F18" s="11"/>
    </row>
    <row r="19" spans="2:6" hidden="1" x14ac:dyDescent="0.3">
      <c r="B19" s="16">
        <v>450906300</v>
      </c>
      <c r="C19" s="17" t="s">
        <v>27</v>
      </c>
      <c r="D19" s="18">
        <v>-36716.74</v>
      </c>
      <c r="E19" s="19" t="s">
        <v>27</v>
      </c>
      <c r="F19" s="11"/>
    </row>
    <row r="20" spans="2:6" hidden="1" x14ac:dyDescent="0.3">
      <c r="B20" s="16">
        <v>450906500</v>
      </c>
      <c r="C20" s="17" t="s">
        <v>28</v>
      </c>
      <c r="D20" s="18">
        <v>46800</v>
      </c>
      <c r="E20" s="19" t="s">
        <v>24</v>
      </c>
      <c r="F20" s="11"/>
    </row>
    <row r="21" spans="2:6" hidden="1" x14ac:dyDescent="0.3">
      <c r="B21" s="16">
        <v>470900110</v>
      </c>
      <c r="C21" s="17" t="s">
        <v>5</v>
      </c>
      <c r="D21" s="18">
        <v>-1651741.22</v>
      </c>
      <c r="E21" s="19" t="s">
        <v>29</v>
      </c>
      <c r="F21" s="11"/>
    </row>
    <row r="22" spans="2:6" hidden="1" x14ac:dyDescent="0.3">
      <c r="B22" s="16">
        <v>470900115</v>
      </c>
      <c r="C22" s="17" t="s">
        <v>30</v>
      </c>
      <c r="D22" s="18">
        <v>-1783921.1</v>
      </c>
      <c r="E22" s="19" t="s">
        <v>31</v>
      </c>
      <c r="F22" s="11"/>
    </row>
    <row r="23" spans="2:6" hidden="1" x14ac:dyDescent="0.3">
      <c r="B23" s="16">
        <v>470900120</v>
      </c>
      <c r="C23" s="17" t="s">
        <v>32</v>
      </c>
      <c r="D23" s="18">
        <v>-2660818.84</v>
      </c>
      <c r="E23" s="19" t="s">
        <v>6</v>
      </c>
      <c r="F23" s="11"/>
    </row>
    <row r="24" spans="2:6" hidden="1" x14ac:dyDescent="0.3">
      <c r="B24" s="16">
        <v>470900130</v>
      </c>
      <c r="C24" s="17" t="s">
        <v>33</v>
      </c>
      <c r="D24" s="18">
        <v>-717619.68</v>
      </c>
      <c r="E24" s="19" t="s">
        <v>29</v>
      </c>
      <c r="F24" s="11"/>
    </row>
    <row r="25" spans="2:6" hidden="1" x14ac:dyDescent="0.3">
      <c r="B25" s="16">
        <v>470901050</v>
      </c>
      <c r="C25" s="17" t="s">
        <v>34</v>
      </c>
      <c r="D25" s="18">
        <v>224641.82</v>
      </c>
      <c r="E25" s="19" t="s">
        <v>24</v>
      </c>
      <c r="F25" s="11"/>
    </row>
    <row r="26" spans="2:6" hidden="1" x14ac:dyDescent="0.3">
      <c r="B26" s="16">
        <v>470901150</v>
      </c>
      <c r="C26" s="17" t="s">
        <v>35</v>
      </c>
      <c r="D26" s="18">
        <v>12761.1</v>
      </c>
      <c r="E26" s="19" t="s">
        <v>24</v>
      </c>
      <c r="F26" s="11"/>
    </row>
    <row r="27" spans="2:6" hidden="1" x14ac:dyDescent="0.3">
      <c r="B27" s="16">
        <v>470901300</v>
      </c>
      <c r="C27" s="17" t="s">
        <v>36</v>
      </c>
      <c r="D27" s="18">
        <v>119402</v>
      </c>
      <c r="E27" s="19" t="s">
        <v>24</v>
      </c>
      <c r="F27" s="11"/>
    </row>
    <row r="28" spans="2:6" hidden="1" x14ac:dyDescent="0.3">
      <c r="B28" s="16">
        <v>470901310</v>
      </c>
      <c r="C28" s="17" t="s">
        <v>37</v>
      </c>
      <c r="D28" s="18">
        <v>1278233.7</v>
      </c>
      <c r="E28" s="19" t="s">
        <v>24</v>
      </c>
      <c r="F28" s="11"/>
    </row>
    <row r="29" spans="2:6" hidden="1" x14ac:dyDescent="0.3">
      <c r="B29" s="16">
        <v>470901400</v>
      </c>
      <c r="C29" s="17" t="s">
        <v>7</v>
      </c>
      <c r="D29" s="18">
        <v>196560</v>
      </c>
      <c r="E29" s="19" t="s">
        <v>8</v>
      </c>
      <c r="F29" s="11"/>
    </row>
    <row r="30" spans="2:6" hidden="1" x14ac:dyDescent="0.3">
      <c r="B30" s="16">
        <v>470901600</v>
      </c>
      <c r="C30" s="17" t="s">
        <v>38</v>
      </c>
      <c r="D30" s="18">
        <v>15899.14</v>
      </c>
      <c r="E30" s="19" t="s">
        <v>24</v>
      </c>
      <c r="F30" s="11"/>
    </row>
    <row r="31" spans="2:6" hidden="1" x14ac:dyDescent="0.3">
      <c r="B31" s="16">
        <v>470901620</v>
      </c>
      <c r="C31" s="17" t="s">
        <v>39</v>
      </c>
      <c r="D31" s="18">
        <v>5188.72</v>
      </c>
      <c r="E31" s="19" t="s">
        <v>24</v>
      </c>
      <c r="F31" s="11"/>
    </row>
    <row r="32" spans="2:6" hidden="1" x14ac:dyDescent="0.3">
      <c r="B32" s="16">
        <v>470901900</v>
      </c>
      <c r="C32" s="17" t="s">
        <v>9</v>
      </c>
      <c r="D32" s="18">
        <v>50234.48</v>
      </c>
      <c r="E32" s="19" t="s">
        <v>8</v>
      </c>
      <c r="F32" s="11"/>
    </row>
    <row r="33" spans="2:6" hidden="1" x14ac:dyDescent="0.3">
      <c r="B33" s="16">
        <v>470902060</v>
      </c>
      <c r="C33" s="17" t="s">
        <v>10</v>
      </c>
      <c r="D33" s="18">
        <v>56904.38</v>
      </c>
      <c r="E33" s="19" t="s">
        <v>11</v>
      </c>
      <c r="F33" s="11"/>
    </row>
    <row r="34" spans="2:6" hidden="1" x14ac:dyDescent="0.3">
      <c r="B34" s="16">
        <v>470902080</v>
      </c>
      <c r="C34" s="17" t="s">
        <v>12</v>
      </c>
      <c r="D34" s="18">
        <v>1884259.46</v>
      </c>
      <c r="E34" s="19" t="s">
        <v>11</v>
      </c>
      <c r="F34" s="11"/>
    </row>
    <row r="35" spans="2:6" hidden="1" x14ac:dyDescent="0.3">
      <c r="B35" s="16">
        <v>470902100</v>
      </c>
      <c r="C35" s="17" t="s">
        <v>13</v>
      </c>
      <c r="D35" s="18">
        <v>184718.68</v>
      </c>
      <c r="E35" s="19" t="s">
        <v>14</v>
      </c>
      <c r="F35" s="11"/>
    </row>
    <row r="36" spans="2:6" hidden="1" x14ac:dyDescent="0.3">
      <c r="B36" s="16">
        <v>470902120</v>
      </c>
      <c r="C36" s="17" t="s">
        <v>15</v>
      </c>
      <c r="D36" s="18">
        <v>216690.28</v>
      </c>
      <c r="E36" s="19" t="s">
        <v>16</v>
      </c>
      <c r="F36" s="11"/>
    </row>
    <row r="37" spans="2:6" hidden="1" x14ac:dyDescent="0.3">
      <c r="B37" s="16">
        <v>470902200</v>
      </c>
      <c r="C37" s="17" t="s">
        <v>17</v>
      </c>
      <c r="D37" s="18">
        <v>331374.02</v>
      </c>
      <c r="E37" s="19" t="s">
        <v>11</v>
      </c>
      <c r="F37" s="11"/>
    </row>
    <row r="38" spans="2:6" hidden="1" x14ac:dyDescent="0.3">
      <c r="B38" s="16">
        <v>470902300</v>
      </c>
      <c r="C38" s="17" t="s">
        <v>40</v>
      </c>
      <c r="D38" s="18">
        <v>143370</v>
      </c>
      <c r="E38" s="19" t="s">
        <v>24</v>
      </c>
      <c r="F38" s="11"/>
    </row>
    <row r="39" spans="2:6" hidden="1" x14ac:dyDescent="0.3">
      <c r="B39" s="16">
        <v>470902350</v>
      </c>
      <c r="C39" s="17" t="s">
        <v>41</v>
      </c>
      <c r="D39" s="18">
        <v>148552</v>
      </c>
      <c r="E39" s="19" t="s">
        <v>24</v>
      </c>
      <c r="F39" s="11"/>
    </row>
    <row r="40" spans="2:6" hidden="1" x14ac:dyDescent="0.3">
      <c r="B40" s="16">
        <v>470902410</v>
      </c>
      <c r="C40" s="17" t="s">
        <v>18</v>
      </c>
      <c r="D40" s="18">
        <v>446620.02</v>
      </c>
      <c r="E40" s="19" t="s">
        <v>8</v>
      </c>
      <c r="F40" s="11"/>
    </row>
    <row r="41" spans="2:6" hidden="1" x14ac:dyDescent="0.3">
      <c r="B41" s="16">
        <v>470902420</v>
      </c>
      <c r="C41" s="17" t="s">
        <v>42</v>
      </c>
      <c r="D41" s="18">
        <v>76442.720000000001</v>
      </c>
      <c r="E41" s="19" t="s">
        <v>24</v>
      </c>
      <c r="F41" s="11"/>
    </row>
    <row r="42" spans="2:6" hidden="1" x14ac:dyDescent="0.3">
      <c r="B42" s="16">
        <v>470902540</v>
      </c>
      <c r="C42" s="17" t="s">
        <v>43</v>
      </c>
      <c r="D42" s="18">
        <v>46661.22</v>
      </c>
      <c r="E42" s="19" t="s">
        <v>24</v>
      </c>
      <c r="F42" s="11"/>
    </row>
    <row r="43" spans="2:6" hidden="1" x14ac:dyDescent="0.3">
      <c r="B43" s="16">
        <v>470902580</v>
      </c>
      <c r="C43" s="17" t="s">
        <v>44</v>
      </c>
      <c r="D43" s="18">
        <v>63461.22</v>
      </c>
      <c r="E43" s="19" t="s">
        <v>24</v>
      </c>
      <c r="F43" s="11"/>
    </row>
    <row r="44" spans="2:6" hidden="1" x14ac:dyDescent="0.3">
      <c r="B44" s="16">
        <v>470902590</v>
      </c>
      <c r="C44" s="17" t="s">
        <v>45</v>
      </c>
      <c r="D44" s="18">
        <v>23447.1</v>
      </c>
      <c r="E44" s="19" t="s">
        <v>24</v>
      </c>
      <c r="F44" s="11"/>
    </row>
    <row r="45" spans="2:6" hidden="1" x14ac:dyDescent="0.3">
      <c r="B45" s="16">
        <v>470902600</v>
      </c>
      <c r="C45" s="17" t="s">
        <v>46</v>
      </c>
      <c r="D45" s="18">
        <v>25378.44</v>
      </c>
      <c r="E45" s="19" t="s">
        <v>24</v>
      </c>
      <c r="F45" s="11"/>
    </row>
    <row r="46" spans="2:6" hidden="1" x14ac:dyDescent="0.3">
      <c r="B46" s="16">
        <v>470902620</v>
      </c>
      <c r="C46" s="17" t="s">
        <v>47</v>
      </c>
      <c r="D46" s="18">
        <v>-500</v>
      </c>
      <c r="E46" s="19" t="s">
        <v>24</v>
      </c>
      <c r="F46" s="11"/>
    </row>
    <row r="47" spans="2:6" hidden="1" x14ac:dyDescent="0.3">
      <c r="B47" s="16">
        <v>470902640</v>
      </c>
      <c r="C47" s="17" t="s">
        <v>48</v>
      </c>
      <c r="D47" s="18">
        <v>2182.6999999999998</v>
      </c>
      <c r="E47" s="19" t="s">
        <v>24</v>
      </c>
      <c r="F47" s="11"/>
    </row>
    <row r="48" spans="2:6" hidden="1" x14ac:dyDescent="0.3">
      <c r="B48" s="16">
        <v>470903030</v>
      </c>
      <c r="C48" s="17" t="s">
        <v>49</v>
      </c>
      <c r="D48" s="18">
        <v>25362.959999999999</v>
      </c>
      <c r="E48" s="19" t="s">
        <v>11</v>
      </c>
      <c r="F48" s="11"/>
    </row>
    <row r="49" spans="2:6" hidden="1" x14ac:dyDescent="0.3">
      <c r="B49" s="16">
        <v>470903040</v>
      </c>
      <c r="C49" s="17" t="s">
        <v>20</v>
      </c>
      <c r="D49" s="18">
        <v>630401.86</v>
      </c>
      <c r="E49" s="19" t="s">
        <v>11</v>
      </c>
      <c r="F49" s="11"/>
    </row>
    <row r="50" spans="2:6" hidden="1" x14ac:dyDescent="0.3">
      <c r="B50" s="16">
        <v>470903050</v>
      </c>
      <c r="C50" s="17" t="s">
        <v>21</v>
      </c>
      <c r="D50" s="18">
        <v>73220.100000000006</v>
      </c>
      <c r="E50" s="19" t="s">
        <v>14</v>
      </c>
      <c r="F50" s="11"/>
    </row>
    <row r="51" spans="2:6" hidden="1" x14ac:dyDescent="0.3">
      <c r="B51" s="16">
        <v>470903060</v>
      </c>
      <c r="C51" s="17" t="s">
        <v>22</v>
      </c>
      <c r="D51" s="18">
        <v>67961.5</v>
      </c>
      <c r="E51" s="19" t="s">
        <v>16</v>
      </c>
      <c r="F51" s="11"/>
    </row>
    <row r="52" spans="2:6" hidden="1" x14ac:dyDescent="0.3">
      <c r="B52" s="16">
        <v>470904030</v>
      </c>
      <c r="C52" s="17" t="s">
        <v>50</v>
      </c>
      <c r="D52" s="18">
        <v>8439.24</v>
      </c>
      <c r="E52" s="19" t="s">
        <v>24</v>
      </c>
      <c r="F52" s="11"/>
    </row>
    <row r="53" spans="2:6" hidden="1" x14ac:dyDescent="0.3">
      <c r="B53" s="16">
        <v>470904040</v>
      </c>
      <c r="C53" s="17" t="s">
        <v>51</v>
      </c>
      <c r="D53" s="18">
        <v>28708.46</v>
      </c>
      <c r="E53" s="19" t="s">
        <v>24</v>
      </c>
      <c r="F53" s="11"/>
    </row>
    <row r="54" spans="2:6" hidden="1" x14ac:dyDescent="0.3">
      <c r="B54" s="16">
        <v>470904110</v>
      </c>
      <c r="C54" s="17" t="s">
        <v>52</v>
      </c>
      <c r="D54" s="18">
        <v>1070</v>
      </c>
      <c r="E54" s="19" t="s">
        <v>24</v>
      </c>
      <c r="F54" s="11"/>
    </row>
    <row r="55" spans="2:6" hidden="1" x14ac:dyDescent="0.3">
      <c r="B55" s="16">
        <v>470905100</v>
      </c>
      <c r="C55" s="17" t="s">
        <v>53</v>
      </c>
      <c r="D55" s="18">
        <v>3563.2</v>
      </c>
      <c r="E55" s="19" t="s">
        <v>24</v>
      </c>
      <c r="F55" s="11"/>
    </row>
    <row r="56" spans="2:6" hidden="1" x14ac:dyDescent="0.3">
      <c r="B56" s="16">
        <v>470905220</v>
      </c>
      <c r="C56" s="17" t="s">
        <v>54</v>
      </c>
      <c r="D56" s="18">
        <v>11235.16</v>
      </c>
      <c r="E56" s="19" t="s">
        <v>24</v>
      </c>
      <c r="F56" s="11"/>
    </row>
    <row r="57" spans="2:6" hidden="1" x14ac:dyDescent="0.3">
      <c r="B57" s="16">
        <v>470905230</v>
      </c>
      <c r="C57" s="17" t="s">
        <v>55</v>
      </c>
      <c r="D57" s="18">
        <v>5878</v>
      </c>
      <c r="E57" s="19" t="s">
        <v>24</v>
      </c>
      <c r="F57" s="11"/>
    </row>
    <row r="58" spans="2:6" hidden="1" x14ac:dyDescent="0.3">
      <c r="B58" s="16">
        <v>470905260</v>
      </c>
      <c r="C58" s="17" t="s">
        <v>56</v>
      </c>
      <c r="D58" s="18">
        <v>5268</v>
      </c>
      <c r="E58" s="19" t="s">
        <v>24</v>
      </c>
      <c r="F58" s="11"/>
    </row>
    <row r="59" spans="2:6" hidden="1" x14ac:dyDescent="0.3">
      <c r="B59" s="16">
        <v>470905280</v>
      </c>
      <c r="C59" s="17" t="s">
        <v>57</v>
      </c>
      <c r="D59" s="18">
        <v>3253.06</v>
      </c>
      <c r="E59" s="19" t="s">
        <v>24</v>
      </c>
      <c r="F59" s="11"/>
    </row>
    <row r="60" spans="2:6" hidden="1" x14ac:dyDescent="0.3">
      <c r="B60" s="16">
        <v>470906300</v>
      </c>
      <c r="C60" s="20" t="s">
        <v>58</v>
      </c>
      <c r="D60" s="18">
        <v>-314246.12</v>
      </c>
      <c r="E60" s="19" t="s">
        <v>59</v>
      </c>
      <c r="F60" s="11"/>
    </row>
    <row r="61" spans="2:6" hidden="1" x14ac:dyDescent="0.3">
      <c r="B61" s="16">
        <v>470906400</v>
      </c>
      <c r="C61" s="17" t="s">
        <v>60</v>
      </c>
      <c r="D61" s="18">
        <v>15764.44</v>
      </c>
      <c r="E61" s="19" t="s">
        <v>61</v>
      </c>
      <c r="F61" s="11"/>
    </row>
    <row r="62" spans="2:6" hidden="1" x14ac:dyDescent="0.3">
      <c r="B62" s="16">
        <v>470906410</v>
      </c>
      <c r="C62" s="17" t="s">
        <v>135</v>
      </c>
      <c r="D62" s="18">
        <v>-49.92</v>
      </c>
      <c r="E62" s="19" t="s">
        <v>24</v>
      </c>
      <c r="F62" s="11"/>
    </row>
    <row r="63" spans="2:6" hidden="1" x14ac:dyDescent="0.3">
      <c r="B63" s="16">
        <v>470906420</v>
      </c>
      <c r="C63" s="17" t="s">
        <v>62</v>
      </c>
      <c r="D63" s="18">
        <v>25651.46</v>
      </c>
      <c r="E63" s="19" t="s">
        <v>63</v>
      </c>
      <c r="F63" s="11"/>
    </row>
    <row r="64" spans="2:6" hidden="1" x14ac:dyDescent="0.3">
      <c r="B64" s="16">
        <v>470906450</v>
      </c>
      <c r="C64" s="17" t="s">
        <v>64</v>
      </c>
      <c r="D64" s="18">
        <v>1778.8</v>
      </c>
      <c r="E64" s="19" t="s">
        <v>24</v>
      </c>
      <c r="F64" s="11"/>
    </row>
    <row r="65" spans="2:6" hidden="1" x14ac:dyDescent="0.3">
      <c r="B65" s="16">
        <v>470906451</v>
      </c>
      <c r="C65" s="17" t="s">
        <v>65</v>
      </c>
      <c r="D65" s="18">
        <v>-512.98</v>
      </c>
      <c r="E65" s="19" t="s">
        <v>24</v>
      </c>
      <c r="F65" s="11"/>
    </row>
    <row r="66" spans="2:6" hidden="1" x14ac:dyDescent="0.3">
      <c r="B66" s="16">
        <v>470906452</v>
      </c>
      <c r="C66" s="17" t="s">
        <v>66</v>
      </c>
      <c r="D66" s="18">
        <v>885.7</v>
      </c>
      <c r="E66" s="19" t="s">
        <v>24</v>
      </c>
      <c r="F66" s="11"/>
    </row>
    <row r="67" spans="2:6" hidden="1" x14ac:dyDescent="0.3">
      <c r="B67" s="16">
        <v>470906500</v>
      </c>
      <c r="C67" s="17" t="s">
        <v>28</v>
      </c>
      <c r="D67" s="18">
        <v>428204</v>
      </c>
      <c r="E67" s="19" t="s">
        <v>24</v>
      </c>
      <c r="F67" s="11"/>
    </row>
    <row r="68" spans="2:6" hidden="1" x14ac:dyDescent="0.3">
      <c r="B68" s="16">
        <v>470906600</v>
      </c>
      <c r="C68" s="17" t="s">
        <v>67</v>
      </c>
      <c r="D68" s="18">
        <v>23991.96</v>
      </c>
      <c r="E68" s="19" t="s">
        <v>24</v>
      </c>
      <c r="F68" s="11"/>
    </row>
    <row r="69" spans="2:6" hidden="1" x14ac:dyDescent="0.3">
      <c r="B69" s="16">
        <v>470906700</v>
      </c>
      <c r="C69" s="17" t="s">
        <v>68</v>
      </c>
      <c r="D69" s="18">
        <v>503314.8</v>
      </c>
      <c r="E69" s="19" t="s">
        <v>24</v>
      </c>
      <c r="F69" s="11"/>
    </row>
    <row r="70" spans="2:6" hidden="1" x14ac:dyDescent="0.3">
      <c r="B70" s="16">
        <v>470901470</v>
      </c>
      <c r="C70" s="17" t="s">
        <v>69</v>
      </c>
      <c r="D70" s="18">
        <v>28325.98</v>
      </c>
      <c r="E70" s="19" t="s">
        <v>6</v>
      </c>
      <c r="F70" s="11"/>
    </row>
    <row r="71" spans="2:6" hidden="1" x14ac:dyDescent="0.3">
      <c r="B71" s="16">
        <v>470902070</v>
      </c>
      <c r="C71" s="17" t="s">
        <v>70</v>
      </c>
      <c r="D71" s="18">
        <v>-5767.22</v>
      </c>
      <c r="E71" s="19" t="s">
        <v>11</v>
      </c>
      <c r="F71" s="11"/>
    </row>
    <row r="72" spans="2:6" hidden="1" x14ac:dyDescent="0.3">
      <c r="B72" s="16">
        <v>470903070</v>
      </c>
      <c r="C72" s="17" t="s">
        <v>71</v>
      </c>
      <c r="D72" s="18">
        <v>5000</v>
      </c>
      <c r="E72" s="19" t="s">
        <v>11</v>
      </c>
      <c r="F72" s="11"/>
    </row>
    <row r="73" spans="2:6" hidden="1" x14ac:dyDescent="0.3">
      <c r="B73" s="16">
        <v>470902442</v>
      </c>
      <c r="C73" s="17" t="s">
        <v>72</v>
      </c>
      <c r="D73" s="18">
        <v>5961.86</v>
      </c>
      <c r="E73" s="19" t="s">
        <v>24</v>
      </c>
      <c r="F73" s="11"/>
    </row>
    <row r="74" spans="2:6" hidden="1" x14ac:dyDescent="0.3">
      <c r="B74" s="16">
        <v>470902443</v>
      </c>
      <c r="C74" s="17" t="s">
        <v>73</v>
      </c>
      <c r="D74" s="18">
        <v>44605.16</v>
      </c>
      <c r="E74" s="19" t="s">
        <v>24</v>
      </c>
      <c r="F74" s="11"/>
    </row>
    <row r="75" spans="2:6" hidden="1" x14ac:dyDescent="0.3">
      <c r="B75" s="16">
        <v>470902444</v>
      </c>
      <c r="C75" s="17" t="s">
        <v>74</v>
      </c>
      <c r="D75" s="18">
        <v>288080.78000000003</v>
      </c>
      <c r="E75" s="19" t="s">
        <v>24</v>
      </c>
      <c r="F75" s="11"/>
    </row>
    <row r="76" spans="2:6" hidden="1" x14ac:dyDescent="0.3">
      <c r="B76" s="16">
        <v>470906720</v>
      </c>
      <c r="C76" s="17" t="s">
        <v>75</v>
      </c>
      <c r="D76" s="18">
        <v>159168</v>
      </c>
      <c r="E76" s="19" t="s">
        <v>24</v>
      </c>
      <c r="F76" s="11"/>
    </row>
    <row r="77" spans="2:6" hidden="1" x14ac:dyDescent="0.3">
      <c r="B77" s="16">
        <v>470906440</v>
      </c>
      <c r="C77" s="17" t="s">
        <v>76</v>
      </c>
      <c r="D77" s="18">
        <v>12865.22</v>
      </c>
      <c r="E77" s="19" t="s">
        <v>77</v>
      </c>
      <c r="F77" s="11"/>
    </row>
    <row r="78" spans="2:6" hidden="1" x14ac:dyDescent="0.3">
      <c r="B78" s="16">
        <v>490101020</v>
      </c>
      <c r="C78" s="17" t="s">
        <v>78</v>
      </c>
      <c r="D78" s="18">
        <v>6033415.46</v>
      </c>
      <c r="E78" s="19" t="s">
        <v>79</v>
      </c>
      <c r="F78" s="11"/>
    </row>
    <row r="79" spans="2:6" hidden="1" x14ac:dyDescent="0.3">
      <c r="B79" s="16">
        <v>490101040</v>
      </c>
      <c r="C79" s="17" t="s">
        <v>80</v>
      </c>
      <c r="D79" s="18">
        <v>29946.080000000002</v>
      </c>
      <c r="E79" s="19" t="s">
        <v>79</v>
      </c>
      <c r="F79" s="11"/>
    </row>
    <row r="80" spans="2:6" hidden="1" x14ac:dyDescent="0.3">
      <c r="B80" s="16">
        <v>490102020</v>
      </c>
      <c r="C80" s="17" t="s">
        <v>81</v>
      </c>
      <c r="D80" s="18">
        <v>-3359038.5</v>
      </c>
      <c r="E80" s="19" t="s">
        <v>79</v>
      </c>
      <c r="F80" s="11"/>
    </row>
    <row r="81" spans="2:6" hidden="1" x14ac:dyDescent="0.3">
      <c r="B81" s="16">
        <v>490102120</v>
      </c>
      <c r="C81" s="17" t="s">
        <v>82</v>
      </c>
      <c r="D81" s="18">
        <v>-475000</v>
      </c>
      <c r="E81" s="19" t="s">
        <v>79</v>
      </c>
      <c r="F81" s="11"/>
    </row>
    <row r="82" spans="2:6" hidden="1" x14ac:dyDescent="0.3">
      <c r="B82" s="16">
        <v>490201100</v>
      </c>
      <c r="C82" s="17" t="s">
        <v>83</v>
      </c>
      <c r="D82" s="18">
        <v>683156</v>
      </c>
      <c r="E82" s="19" t="s">
        <v>84</v>
      </c>
      <c r="F82" s="11"/>
    </row>
    <row r="83" spans="2:6" hidden="1" x14ac:dyDescent="0.3">
      <c r="B83" s="16">
        <v>490201200</v>
      </c>
      <c r="C83" s="17" t="s">
        <v>85</v>
      </c>
      <c r="D83" s="18">
        <v>729126</v>
      </c>
      <c r="E83" s="19" t="s">
        <v>86</v>
      </c>
      <c r="F83" s="11"/>
    </row>
    <row r="84" spans="2:6" hidden="1" x14ac:dyDescent="0.3">
      <c r="B84" s="16">
        <v>490201300</v>
      </c>
      <c r="C84" s="17" t="s">
        <v>87</v>
      </c>
      <c r="D84" s="18">
        <v>402336</v>
      </c>
      <c r="E84" s="19" t="s">
        <v>88</v>
      </c>
      <c r="F84" s="11"/>
    </row>
    <row r="85" spans="2:6" hidden="1" x14ac:dyDescent="0.3">
      <c r="B85" s="16">
        <v>490203000</v>
      </c>
      <c r="C85" s="17" t="s">
        <v>89</v>
      </c>
      <c r="D85" s="18">
        <v>786035.86</v>
      </c>
      <c r="E85" s="19" t="s">
        <v>90</v>
      </c>
      <c r="F85" s="11"/>
    </row>
    <row r="86" spans="2:6" hidden="1" x14ac:dyDescent="0.3">
      <c r="B86" s="16">
        <v>490203001</v>
      </c>
      <c r="C86" s="17" t="s">
        <v>91</v>
      </c>
      <c r="D86" s="18">
        <v>90739.38</v>
      </c>
      <c r="E86" s="19" t="s">
        <v>90</v>
      </c>
      <c r="F86" s="11"/>
    </row>
    <row r="87" spans="2:6" hidden="1" x14ac:dyDescent="0.3">
      <c r="B87" s="16">
        <v>490203100</v>
      </c>
      <c r="C87" s="17" t="s">
        <v>92</v>
      </c>
      <c r="D87" s="18">
        <v>-3563.2</v>
      </c>
      <c r="E87" s="19" t="s">
        <v>90</v>
      </c>
      <c r="F87" s="11"/>
    </row>
    <row r="88" spans="2:6" hidden="1" x14ac:dyDescent="0.3">
      <c r="B88" s="16">
        <v>490204000</v>
      </c>
      <c r="C88" s="17" t="s">
        <v>93</v>
      </c>
      <c r="D88" s="18">
        <v>18660.04</v>
      </c>
      <c r="E88" s="19" t="s">
        <v>94</v>
      </c>
      <c r="F88" s="11"/>
    </row>
    <row r="89" spans="2:6" hidden="1" x14ac:dyDescent="0.3">
      <c r="B89" s="16">
        <v>490201311</v>
      </c>
      <c r="C89" s="17" t="s">
        <v>95</v>
      </c>
      <c r="D89" s="18">
        <v>379856</v>
      </c>
      <c r="E89" s="19" t="s">
        <v>88</v>
      </c>
      <c r="F89" s="11"/>
    </row>
    <row r="90" spans="2:6" hidden="1" x14ac:dyDescent="0.3">
      <c r="B90" s="16">
        <v>490204050</v>
      </c>
      <c r="C90" s="17" t="s">
        <v>96</v>
      </c>
      <c r="D90" s="18">
        <v>41568.6</v>
      </c>
      <c r="E90" s="19" t="s">
        <v>97</v>
      </c>
      <c r="F90" s="11"/>
    </row>
    <row r="91" spans="2:6" hidden="1" x14ac:dyDescent="0.3">
      <c r="B91" s="16">
        <v>490204200</v>
      </c>
      <c r="C91" s="17" t="s">
        <v>98</v>
      </c>
      <c r="D91" s="18">
        <v>222250</v>
      </c>
      <c r="E91" s="19" t="s">
        <v>99</v>
      </c>
      <c r="F91" s="11"/>
    </row>
    <row r="92" spans="2:6" hidden="1" x14ac:dyDescent="0.3">
      <c r="B92" s="16">
        <v>490303000</v>
      </c>
      <c r="C92" s="17" t="s">
        <v>100</v>
      </c>
      <c r="D92" s="18">
        <v>-738413.88</v>
      </c>
      <c r="E92" s="19" t="s">
        <v>101</v>
      </c>
      <c r="F92" s="11"/>
    </row>
    <row r="93" spans="2:6" hidden="1" x14ac:dyDescent="0.3">
      <c r="B93" s="16">
        <v>490303001</v>
      </c>
      <c r="C93" s="17" t="s">
        <v>102</v>
      </c>
      <c r="D93" s="18">
        <v>-3491.28</v>
      </c>
      <c r="E93" s="19" t="s">
        <v>101</v>
      </c>
      <c r="F93" s="11"/>
    </row>
    <row r="94" spans="2:6" hidden="1" x14ac:dyDescent="0.3">
      <c r="B94" s="16">
        <v>490304999</v>
      </c>
      <c r="C94" s="17" t="s">
        <v>103</v>
      </c>
      <c r="D94" s="18">
        <v>-49612</v>
      </c>
      <c r="E94" s="19" t="s">
        <v>88</v>
      </c>
      <c r="F94" s="11"/>
    </row>
    <row r="95" spans="2:6" hidden="1" x14ac:dyDescent="0.3">
      <c r="B95" s="16">
        <v>490305130</v>
      </c>
      <c r="C95" s="17" t="s">
        <v>104</v>
      </c>
      <c r="D95" s="18">
        <v>-17023.240000000002</v>
      </c>
      <c r="E95" s="19" t="s">
        <v>105</v>
      </c>
      <c r="F95" s="11"/>
    </row>
    <row r="96" spans="2:6" hidden="1" x14ac:dyDescent="0.3">
      <c r="B96" s="16">
        <v>490305350</v>
      </c>
      <c r="C96" s="17" t="s">
        <v>106</v>
      </c>
      <c r="D96" s="18">
        <v>-13685.06</v>
      </c>
      <c r="E96" s="19" t="s">
        <v>105</v>
      </c>
      <c r="F96" s="11"/>
    </row>
    <row r="97" spans="2:6" hidden="1" x14ac:dyDescent="0.3">
      <c r="B97" s="16">
        <v>490304998</v>
      </c>
      <c r="C97" s="17" t="s">
        <v>107</v>
      </c>
      <c r="D97" s="18">
        <v>-39042</v>
      </c>
      <c r="E97" s="19" t="s">
        <v>84</v>
      </c>
      <c r="F97" s="11"/>
    </row>
    <row r="98" spans="2:6" hidden="1" x14ac:dyDescent="0.3">
      <c r="B98" s="16">
        <v>490305260</v>
      </c>
      <c r="C98" s="17" t="s">
        <v>108</v>
      </c>
      <c r="D98" s="18">
        <v>10680.1</v>
      </c>
      <c r="E98" s="19" t="s">
        <v>94</v>
      </c>
      <c r="F98" s="11"/>
    </row>
    <row r="99" spans="2:6" hidden="1" x14ac:dyDescent="0.3">
      <c r="B99" s="16">
        <v>490401100</v>
      </c>
      <c r="C99" s="17" t="s">
        <v>109</v>
      </c>
      <c r="D99" s="18">
        <v>-135945.9</v>
      </c>
      <c r="E99" s="19" t="s">
        <v>110</v>
      </c>
      <c r="F99" s="11"/>
    </row>
    <row r="100" spans="2:6" hidden="1" x14ac:dyDescent="0.3">
      <c r="B100" s="16">
        <v>490401200</v>
      </c>
      <c r="C100" s="17" t="s">
        <v>111</v>
      </c>
      <c r="D100" s="18">
        <v>-8324.52</v>
      </c>
      <c r="E100" s="19" t="s">
        <v>110</v>
      </c>
      <c r="F100" s="11"/>
    </row>
    <row r="101" spans="2:6" hidden="1" x14ac:dyDescent="0.3">
      <c r="B101" s="16">
        <v>490401300</v>
      </c>
      <c r="C101" s="17" t="s">
        <v>112</v>
      </c>
      <c r="D101" s="18">
        <v>337.36</v>
      </c>
      <c r="E101" s="19" t="s">
        <v>110</v>
      </c>
      <c r="F101" s="11"/>
    </row>
    <row r="102" spans="2:6" hidden="1" x14ac:dyDescent="0.3">
      <c r="B102" s="16">
        <v>490402100</v>
      </c>
      <c r="C102" s="17" t="s">
        <v>113</v>
      </c>
      <c r="D102" s="18">
        <v>-2577603.2999999998</v>
      </c>
      <c r="E102" s="19" t="s">
        <v>110</v>
      </c>
      <c r="F102" s="11"/>
    </row>
    <row r="103" spans="2:6" hidden="1" x14ac:dyDescent="0.3">
      <c r="B103" s="16">
        <v>490402200</v>
      </c>
      <c r="C103" s="17" t="s">
        <v>114</v>
      </c>
      <c r="D103" s="18">
        <v>-35309.5</v>
      </c>
      <c r="E103" s="19" t="s">
        <v>110</v>
      </c>
      <c r="F103" s="11"/>
    </row>
    <row r="104" spans="2:6" hidden="1" x14ac:dyDescent="0.3">
      <c r="B104" s="16">
        <v>490402300</v>
      </c>
      <c r="C104" s="17" t="s">
        <v>115</v>
      </c>
      <c r="D104" s="18">
        <v>59202.3</v>
      </c>
      <c r="E104" s="19" t="s">
        <v>110</v>
      </c>
      <c r="F104" s="11"/>
    </row>
    <row r="105" spans="2:6" hidden="1" x14ac:dyDescent="0.3">
      <c r="B105" s="16">
        <v>490405000</v>
      </c>
      <c r="C105" s="17" t="s">
        <v>116</v>
      </c>
      <c r="D105" s="18">
        <v>-115459.26</v>
      </c>
      <c r="E105" s="19" t="s">
        <v>117</v>
      </c>
      <c r="F105" s="11"/>
    </row>
    <row r="106" spans="2:6" hidden="1" x14ac:dyDescent="0.3">
      <c r="B106" s="16">
        <v>490401201</v>
      </c>
      <c r="C106" s="17" t="s">
        <v>118</v>
      </c>
      <c r="D106" s="18">
        <v>-1481.46</v>
      </c>
      <c r="E106" s="19" t="s">
        <v>110</v>
      </c>
      <c r="F106" s="11"/>
    </row>
    <row r="107" spans="2:6" hidden="1" x14ac:dyDescent="0.3">
      <c r="B107" s="16">
        <v>490401301</v>
      </c>
      <c r="C107" s="17" t="s">
        <v>119</v>
      </c>
      <c r="D107" s="18">
        <v>106.16</v>
      </c>
      <c r="E107" s="19" t="s">
        <v>110</v>
      </c>
      <c r="F107" s="11"/>
    </row>
    <row r="108" spans="2:6" hidden="1" x14ac:dyDescent="0.3">
      <c r="B108" s="16">
        <v>490405010</v>
      </c>
      <c r="C108" s="17" t="s">
        <v>120</v>
      </c>
      <c r="D108" s="18">
        <v>-222080.2</v>
      </c>
      <c r="E108" s="19" t="s">
        <v>121</v>
      </c>
      <c r="F108" s="11"/>
    </row>
    <row r="109" spans="2:6" hidden="1" x14ac:dyDescent="0.3">
      <c r="B109" s="16">
        <v>490402201</v>
      </c>
      <c r="C109" s="17" t="s">
        <v>122</v>
      </c>
      <c r="D109" s="18">
        <v>-6283.82</v>
      </c>
      <c r="E109" s="19" t="s">
        <v>110</v>
      </c>
      <c r="F109" s="11"/>
    </row>
    <row r="110" spans="2:6" hidden="1" x14ac:dyDescent="0.3">
      <c r="B110" s="16">
        <v>490402301</v>
      </c>
      <c r="C110" s="17" t="s">
        <v>123</v>
      </c>
      <c r="D110" s="18">
        <v>18629.2</v>
      </c>
      <c r="E110" s="19" t="s">
        <v>110</v>
      </c>
      <c r="F110" s="11"/>
    </row>
    <row r="111" spans="2:6" hidden="1" x14ac:dyDescent="0.3">
      <c r="B111" s="16">
        <v>490501000</v>
      </c>
      <c r="C111" s="17" t="s">
        <v>124</v>
      </c>
      <c r="D111" s="18">
        <v>-27936.38</v>
      </c>
      <c r="E111" s="19" t="s">
        <v>125</v>
      </c>
      <c r="F111" s="11"/>
    </row>
    <row r="112" spans="2:6" hidden="1" x14ac:dyDescent="0.3">
      <c r="B112" s="16">
        <v>490505000</v>
      </c>
      <c r="C112" s="17" t="s">
        <v>126</v>
      </c>
      <c r="D112" s="18">
        <v>7084.8</v>
      </c>
      <c r="E112" s="19" t="s">
        <v>127</v>
      </c>
      <c r="F112" s="11"/>
    </row>
    <row r="113" spans="2:7" hidden="1" x14ac:dyDescent="0.3">
      <c r="B113" s="4">
        <v>490502000</v>
      </c>
      <c r="C113" s="14" t="s">
        <v>128</v>
      </c>
      <c r="D113" s="15">
        <v>-2700.32</v>
      </c>
      <c r="E113" s="5" t="s">
        <v>125</v>
      </c>
      <c r="F113" s="11"/>
    </row>
    <row r="114" spans="2:7" x14ac:dyDescent="0.3">
      <c r="B114" s="4">
        <v>490901000</v>
      </c>
      <c r="C114" s="14" t="s">
        <v>129</v>
      </c>
      <c r="D114" s="15">
        <v>-4</v>
      </c>
      <c r="E114" s="5" t="s">
        <v>130</v>
      </c>
      <c r="F114" s="11"/>
    </row>
    <row r="115" spans="2:7" x14ac:dyDescent="0.3">
      <c r="B115" s="4">
        <v>490903000</v>
      </c>
      <c r="C115" s="14" t="s">
        <v>131</v>
      </c>
      <c r="D115" s="15">
        <v>-2394248.88</v>
      </c>
      <c r="E115" s="5" t="s">
        <v>132</v>
      </c>
      <c r="F115" s="11"/>
    </row>
    <row r="116" spans="2:7" hidden="1" x14ac:dyDescent="0.3">
      <c r="B116" s="22" t="s">
        <v>133</v>
      </c>
      <c r="C116" s="22"/>
      <c r="D116" s="13">
        <f>SUM(D3:D115)</f>
        <v>0</v>
      </c>
      <c r="F116" s="12"/>
      <c r="G116" s="12"/>
    </row>
  </sheetData>
  <autoFilter ref="B2:E116" xr:uid="{30F40333-DE79-4AC4-836B-2BFD9C140BB4}">
    <filterColumn colId="3">
      <filters>
        <filter val="Equity - profit and loss account"/>
        <filter val="Equity - share capital"/>
      </filters>
    </filterColumn>
  </autoFilter>
  <mergeCells count="1">
    <mergeCell ref="B116:C116"/>
  </mergeCells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90" verticalDpi="90" r:id="rId1"/>
  <headerFooter>
    <oddHeader>&amp;R&amp;"Calibri"&amp;8&amp;K000000 Commercial in Confidence&amp;1#_x000D_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1300880188FA44B2F361162042337D" ma:contentTypeVersion="8" ma:contentTypeDescription="Create a new document." ma:contentTypeScope="" ma:versionID="f095ed9bd20098b59448fffeb7f36fa9">
  <xsd:schema xmlns:xsd="http://www.w3.org/2001/XMLSchema" xmlns:xs="http://www.w3.org/2001/XMLSchema" xmlns:p="http://schemas.microsoft.com/office/2006/metadata/properties" xmlns:ns2="48d0c856-13df-4d63-8555-84024c297a03" xmlns:ns3="ba3f7627-96f7-416e-808c-56f13e595f93" targetNamespace="http://schemas.microsoft.com/office/2006/metadata/properties" ma:root="true" ma:fieldsID="5828a41ea90f9fa73933437a5e1edb41" ns2:_="" ns3:_="">
    <xsd:import namespace="48d0c856-13df-4d63-8555-84024c297a03"/>
    <xsd:import namespace="ba3f7627-96f7-416e-808c-56f13e595f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Completed_x003f_" minOccurs="0"/>
                <xsd:element ref="ns2:OTM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d0c856-13df-4d63-8555-84024c297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pleted_x003f_" ma:index="14" nillable="true" ma:displayName="Completed?" ma:default="1" ma:format="Dropdown" ma:internalName="Completed_x003f_">
      <xsd:simpleType>
        <xsd:restriction base="dms:Boolean"/>
      </xsd:simpleType>
    </xsd:element>
    <xsd:element name="OTMName" ma:index="15" nillable="true" ma:displayName="OTM Name" ma:format="Dropdown" ma:internalName="OTM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3f7627-96f7-416e-808c-56f13e595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TMName xmlns="48d0c856-13df-4d63-8555-84024c297a03" xsi:nil="true"/>
    <Completed_x003f_ xmlns="48d0c856-13df-4d63-8555-84024c297a03">true</Completed_x003f_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920608-8932-4F1C-9392-B0220F7B61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d0c856-13df-4d63-8555-84024c297a03"/>
    <ds:schemaRef ds:uri="ba3f7627-96f7-416e-808c-56f13e595f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505D96-224A-46D1-AB70-48BCCA2515BF}">
  <ds:schemaRefs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ba3f7627-96f7-416e-808c-56f13e595f93"/>
    <ds:schemaRef ds:uri="48d0c856-13df-4d63-8555-84024c297a03"/>
  </ds:schemaRefs>
</ds:datastoreItem>
</file>

<file path=customXml/itemProps3.xml><?xml version="1.0" encoding="utf-8"?>
<ds:datastoreItem xmlns:ds="http://schemas.openxmlformats.org/officeDocument/2006/customXml" ds:itemID="{7D422037-79A5-45B6-8353-7C20DE7150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 2021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Debbie L Mander</dc:creator>
  <cp:keywords/>
  <dc:description/>
  <cp:lastModifiedBy>Rohan Khatri</cp:lastModifiedBy>
  <cp:revision/>
  <dcterms:created xsi:type="dcterms:W3CDTF">2020-10-27T10:15:13Z</dcterms:created>
  <dcterms:modified xsi:type="dcterms:W3CDTF">2025-11-04T10:42:57Z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0x010100691300880188FA44B2F361162042337D</vt:lpwstr>
  </property>
  <property fmtid="{D5CDD505-2E9C-101B-9397-08002B2CF9AE}" pid="3" name="MSIP_Label_4188c733-ee34-4236-a60b-d6f9a28bb31e_Enabled">
    <vt:lpwstr>true</vt:lpwstr>
  </property>
  <property fmtid="{D5CDD505-2E9C-101B-9397-08002B2CF9AE}" pid="4" name="MSIP_Label_4188c733-ee34-4236-a60b-d6f9a28bb31e_SetDate">
    <vt:lpwstr>2025-08-27T14:32:55Z</vt:lpwstr>
  </property>
  <property fmtid="{D5CDD505-2E9C-101B-9397-08002B2CF9AE}" pid="5" name="MSIP_Label_4188c733-ee34-4236-a60b-d6f9a28bb31e_Method">
    <vt:lpwstr>Standard</vt:lpwstr>
  </property>
  <property fmtid="{D5CDD505-2E9C-101B-9397-08002B2CF9AE}" pid="6" name="MSIP_Label_4188c733-ee34-4236-a60b-d6f9a28bb31e_Name">
    <vt:lpwstr>Commercial in ConfidenceV2</vt:lpwstr>
  </property>
  <property fmtid="{D5CDD505-2E9C-101B-9397-08002B2CF9AE}" pid="7" name="MSIP_Label_4188c733-ee34-4236-a60b-d6f9a28bb31e_SiteId">
    <vt:lpwstr>b723253f-7281-4adc-bc1c-fc9ef3674d78</vt:lpwstr>
  </property>
  <property fmtid="{D5CDD505-2E9C-101B-9397-08002B2CF9AE}" pid="8" name="MSIP_Label_4188c733-ee34-4236-a60b-d6f9a28bb31e_ActionId">
    <vt:lpwstr>418c307b-f4e2-4a75-a8cd-0d7efce189b2</vt:lpwstr>
  </property>
  <property fmtid="{D5CDD505-2E9C-101B-9397-08002B2CF9AE}" pid="9" name="MSIP_Label_4188c733-ee34-4236-a60b-d6f9a28bb31e_ContentBits">
    <vt:lpwstr>1</vt:lpwstr>
  </property>
  <property fmtid="{D5CDD505-2E9C-101B-9397-08002B2CF9AE}" pid="10" name="MSIP_Label_4188c733-ee34-4236-a60b-d6f9a28bb31e_Tag">
    <vt:lpwstr>10, 3, 0, 1</vt:lpwstr>
  </property>
</Properties>
</file>